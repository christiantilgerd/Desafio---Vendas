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ados_Vendas" sheetId="2" state="visible" r:id="rId2"/>
    <sheet xmlns:r="http://schemas.openxmlformats.org/officeDocument/2006/relationships" name="Calcul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R$ #,##0.00"/>
    <numFmt numFmtId="166" formatCode="#,##0 un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0"/>
    </font>
    <font>
      <name val="Calibri"/>
      <b val="1"/>
      <color rgb="00FFFFFF"/>
      <sz val="18"/>
    </font>
    <font>
      <name val="Calibri"/>
      <i val="1"/>
      <color rgb="005A6B82"/>
      <sz val="10"/>
    </font>
    <font>
      <name val="Calibri"/>
      <b val="1"/>
      <color rgb="005A6B82"/>
      <sz val="9"/>
    </font>
    <font>
      <name val="Calibri"/>
      <b val="1"/>
      <color rgb="001B365D"/>
      <sz val="20"/>
    </font>
    <font>
      <name val="Calibri"/>
      <color rgb="002E7D32"/>
      <sz val="9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8FAFC"/>
        <bgColor rgb="00F8FAFC"/>
      </patternFill>
    </fill>
    <fill>
      <patternFill patternType="solid">
        <fgColor rgb="00F4F6F9"/>
        <bgColor rgb="00F4F6F9"/>
      </patternFill>
    </fill>
  </fills>
  <borders count="3">
    <border>
      <left/>
      <right/>
      <top/>
      <bottom/>
      <diagonal/>
    </border>
    <border>
      <left style="thin">
        <color rgb="00D9E1E8"/>
      </left>
      <right style="thin">
        <color rgb="00D9E1E8"/>
      </right>
      <top style="thin">
        <color rgb="00D9E1E8"/>
      </top>
      <bottom style="thin">
        <color rgb="00D9E1E8"/>
      </bottom>
    </border>
    <border>
      <left style="medium">
        <color rgb="004A90E2"/>
      </left>
      <top style="thin">
        <color rgb="00D9E1E8"/>
      </top>
      <bottom style="thin">
        <color rgb="00D9E1E8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0" borderId="0" applyAlignment="1" pivotButton="0" quotePrefix="0" xfId="0">
      <alignment horizontal="right" vertical="center"/>
    </xf>
    <xf numFmtId="0" fontId="5" fillId="4" borderId="2" applyAlignment="1" pivotButton="0" quotePrefix="0" xfId="0">
      <alignment horizontal="center" vertical="center"/>
    </xf>
    <xf numFmtId="0" fontId="0" fillId="4" borderId="1" pivotButton="0" quotePrefix="0" xfId="0"/>
    <xf numFmtId="165" fontId="6" fillId="4" borderId="2" applyAlignment="1" pivotButton="0" quotePrefix="0" xfId="0">
      <alignment horizontal="center" vertical="center"/>
    </xf>
    <xf numFmtId="3" fontId="6" fillId="4" borderId="2" applyAlignment="1" pivotButton="0" quotePrefix="0" xfId="0">
      <alignment horizontal="center" vertical="center"/>
    </xf>
    <xf numFmtId="166" fontId="6" fillId="4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3" fontId="0" fillId="3" borderId="1" applyAlignment="1" pivotButton="0" quotePrefix="0" xfId="0">
      <alignment horizontal="right" vertical="center"/>
    </xf>
    <xf numFmtId="165" fontId="0" fillId="3" borderId="1" applyAlignment="1" pivotButton="0" quotePrefix="0" xfId="0">
      <alignment horizontal="righ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Evolução Mensal do Faturamento</a:t>
            </a:r>
          </a:p>
        </rich>
      </tx>
    </title>
    <plotArea>
      <lineChart>
        <grouping val="standard"/>
        <ser>
          <idx val="0"/>
          <order val="0"/>
          <tx>
            <strRef>
              <f>'Calculos'!B1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'Calculos'!$A$2:$A$7</f>
            </numRef>
          </cat>
          <val>
            <numRef>
              <f>'Calculos'!$B$2:$B$7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Mês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Faturamento por Região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'Calculos'!E1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'Calculos'!$D$2:$D$6</f>
            </numRef>
          </cat>
          <val>
            <numRef>
              <f>'Calculos'!$E$2:$E$6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Região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Faturamento por Vendedor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'Calculos'!H1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'Calculos'!$G$2:$G$6</f>
            </numRef>
          </cat>
          <val>
            <numRef>
              <f>'Calculos'!$H$2:$H$6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Vendedor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Distribuição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'Calculos'!K1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'Calculos'!$J$2:$J$4</f>
            </numRef>
          </cat>
          <val>
            <numRef>
              <f>'Calculos'!$K$2:$K$4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1</col>
      <colOff>0</colOff>
      <row>9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23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7</col>
      <colOff>0</colOff>
      <row>23</row>
      <rowOff>0</rowOff>
    </from>
    <ext cx="540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8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3" customWidth="1" min="14" max="14"/>
  </cols>
  <sheetData>
    <row r="2" ht="25" customHeight="1">
      <c r="B2" s="1" t="inlineStr">
        <is>
          <t>DASHBOARD DE VENDAS CORPORATIVAS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0" customHeight="1"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B4" s="3" t="inlineStr">
        <is>
          <t>Visão Geral de Desempenho - 1º Semestre de 2026</t>
        </is>
      </c>
    </row>
    <row r="6" ht="18" customHeight="1">
      <c r="B6" s="4" t="inlineStr">
        <is>
          <t>FATURAMENTO TOTAL</t>
        </is>
      </c>
      <c r="C6" s="5" t="n"/>
      <c r="D6" s="5" t="n"/>
      <c r="E6" s="4" t="inlineStr">
        <is>
          <t>TOTAL DE PEDIDOS</t>
        </is>
      </c>
      <c r="F6" s="5" t="n"/>
      <c r="G6" s="5" t="n"/>
      <c r="H6" s="4" t="inlineStr">
        <is>
          <t>TICKET MÉDIO</t>
        </is>
      </c>
      <c r="I6" s="5" t="n"/>
      <c r="J6" s="5" t="n"/>
      <c r="K6" s="4" t="inlineStr">
        <is>
          <t>PRODUTOS VENDIDOS</t>
        </is>
      </c>
      <c r="L6" s="5" t="n"/>
      <c r="M6" s="5" t="n"/>
    </row>
    <row r="7" ht="28" customHeight="1">
      <c r="B7" s="6">
        <f>SUM(Dados_Vendas!I2:I31)</f>
        <v/>
      </c>
      <c r="C7" s="5" t="n"/>
      <c r="D7" s="5" t="n"/>
      <c r="E7" s="7">
        <f>COUNTA(Dados_Vendas!A2:A31)</f>
        <v/>
      </c>
      <c r="F7" s="5" t="n"/>
      <c r="G7" s="5" t="n"/>
      <c r="H7" s="6">
        <f>AVERAGE(Dados_Vendas!I2:I31)</f>
        <v/>
      </c>
      <c r="I7" s="5" t="n"/>
      <c r="J7" s="5" t="n"/>
      <c r="K7" s="8">
        <f>SUM(Dados_Vendas!G2:G31)</f>
        <v/>
      </c>
      <c r="L7" s="5" t="n"/>
      <c r="M7" s="5" t="n"/>
    </row>
    <row r="8" ht="18" customHeight="1">
      <c r="B8" s="9" t="inlineStr">
        <is>
          <t>▲ Meta Superada</t>
        </is>
      </c>
      <c r="C8" s="5" t="n"/>
      <c r="D8" s="5" t="n"/>
      <c r="E8" s="9" t="inlineStr">
        <is>
          <t>30 Transações</t>
        </is>
      </c>
      <c r="F8" s="5" t="n"/>
      <c r="G8" s="5" t="n"/>
      <c r="H8" s="9" t="inlineStr">
        <is>
          <t>Por Pedido</t>
        </is>
      </c>
      <c r="I8" s="5" t="n"/>
      <c r="J8" s="5" t="n"/>
      <c r="K8" s="9" t="inlineStr">
        <is>
          <t>Total Itens</t>
        </is>
      </c>
      <c r="L8" s="5" t="n"/>
      <c r="M8" s="5" t="n"/>
    </row>
  </sheetData>
  <mergeCells count="14">
    <mergeCell ref="K8:M8"/>
    <mergeCell ref="B2:M3"/>
    <mergeCell ref="E7:G7"/>
    <mergeCell ref="K6:M6"/>
    <mergeCell ref="B8:D8"/>
    <mergeCell ref="E8:G8"/>
    <mergeCell ref="H8:J8"/>
    <mergeCell ref="H7:J7"/>
    <mergeCell ref="B7:D7"/>
    <mergeCell ref="B4:M4"/>
    <mergeCell ref="B6:D6"/>
    <mergeCell ref="K7:M7"/>
    <mergeCell ref="E6:G6"/>
    <mergeCell ref="H6:J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15" customWidth="1" min="4" max="4"/>
    <col width="12" customWidth="1" min="5" max="5"/>
    <col width="26" customWidth="1" min="6" max="6"/>
    <col width="12" customWidth="1" min="7" max="7"/>
    <col width="19" customWidth="1" min="8" max="8"/>
    <col width="19" customWidth="1" min="9" max="9"/>
    <col width="12" customWidth="1" min="10" max="10"/>
  </cols>
  <sheetData>
    <row r="1">
      <c r="A1" s="10" t="inlineStr">
        <is>
          <t>ID Pedido</t>
        </is>
      </c>
      <c r="B1" s="10" t="inlineStr">
        <is>
          <t>Data</t>
        </is>
      </c>
      <c r="C1" s="10" t="inlineStr">
        <is>
          <t>Vendedor</t>
        </is>
      </c>
      <c r="D1" s="10" t="inlineStr">
        <is>
          <t>Região</t>
        </is>
      </c>
      <c r="E1" s="10" t="inlineStr">
        <is>
          <t>Categoria</t>
        </is>
      </c>
      <c r="F1" s="10" t="inlineStr">
        <is>
          <t>Produto</t>
        </is>
      </c>
      <c r="G1" s="10" t="inlineStr">
        <is>
          <t>Qtd</t>
        </is>
      </c>
      <c r="H1" s="10" t="inlineStr">
        <is>
          <t>Preço Unit. (R$)</t>
        </is>
      </c>
      <c r="I1" s="10" t="inlineStr">
        <is>
          <t>Faturamento (R$)</t>
        </is>
      </c>
      <c r="J1" s="10" t="inlineStr">
        <is>
          <t>Status</t>
        </is>
      </c>
    </row>
    <row r="2">
      <c r="A2" s="11" t="n">
        <v>1001</v>
      </c>
      <c r="B2" s="12" t="inlineStr">
        <is>
          <t>2026-01-05</t>
        </is>
      </c>
      <c r="C2" s="13" t="inlineStr">
        <is>
          <t>Carlos Silva</t>
        </is>
      </c>
      <c r="D2" s="11" t="inlineStr">
        <is>
          <t>Sudeste</t>
        </is>
      </c>
      <c r="E2" s="11" t="inlineStr">
        <is>
          <t>Alimentos</t>
        </is>
      </c>
      <c r="F2" s="13" t="inlineStr">
        <is>
          <t>Cesta Básica Premium</t>
        </is>
      </c>
      <c r="G2" s="14" t="n">
        <v>45</v>
      </c>
      <c r="H2" s="15" t="n">
        <v>120</v>
      </c>
      <c r="I2" s="15">
        <f>G2*H2</f>
        <v/>
      </c>
      <c r="J2" s="11" t="inlineStr">
        <is>
          <t>Concluído</t>
        </is>
      </c>
    </row>
    <row r="3">
      <c r="A3" s="16" t="n">
        <v>1002</v>
      </c>
      <c r="B3" s="17" t="inlineStr">
        <is>
          <t>2026-01-08</t>
        </is>
      </c>
      <c r="C3" s="18" t="inlineStr">
        <is>
          <t>Ana Souza</t>
        </is>
      </c>
      <c r="D3" s="16" t="inlineStr">
        <is>
          <t>Sul</t>
        </is>
      </c>
      <c r="E3" s="16" t="inlineStr">
        <is>
          <t>Alimentos</t>
        </is>
      </c>
      <c r="F3" s="18" t="inlineStr">
        <is>
          <t>Cesta Família</t>
        </is>
      </c>
      <c r="G3" s="19" t="n">
        <v>30</v>
      </c>
      <c r="H3" s="20" t="n">
        <v>180</v>
      </c>
      <c r="I3" s="20">
        <f>G3*H3</f>
        <v/>
      </c>
      <c r="J3" s="16" t="inlineStr">
        <is>
          <t>Concluído</t>
        </is>
      </c>
    </row>
    <row r="4">
      <c r="A4" s="11" t="n">
        <v>1003</v>
      </c>
      <c r="B4" s="12" t="inlineStr">
        <is>
          <t>2026-01-12</t>
        </is>
      </c>
      <c r="C4" s="13" t="inlineStr">
        <is>
          <t>Mariana Costa</t>
        </is>
      </c>
      <c r="D4" s="11" t="inlineStr">
        <is>
          <t>Sudeste</t>
        </is>
      </c>
      <c r="E4" s="11" t="inlineStr">
        <is>
          <t>Bebidas</t>
        </is>
      </c>
      <c r="F4" s="13" t="inlineStr">
        <is>
          <t>Kit Sucos Naturais</t>
        </is>
      </c>
      <c r="G4" s="14" t="n">
        <v>60</v>
      </c>
      <c r="H4" s="15" t="n">
        <v>45</v>
      </c>
      <c r="I4" s="15">
        <f>G4*H4</f>
        <v/>
      </c>
      <c r="J4" s="11" t="inlineStr">
        <is>
          <t>Concluído</t>
        </is>
      </c>
    </row>
    <row r="5">
      <c r="A5" s="16" t="n">
        <v>1004</v>
      </c>
      <c r="B5" s="17" t="inlineStr">
        <is>
          <t>2026-01-15</t>
        </is>
      </c>
      <c r="C5" s="18" t="inlineStr">
        <is>
          <t>João Pedro</t>
        </is>
      </c>
      <c r="D5" s="16" t="inlineStr">
        <is>
          <t>Nordeste</t>
        </is>
      </c>
      <c r="E5" s="16" t="inlineStr">
        <is>
          <t>Alimentos</t>
        </is>
      </c>
      <c r="F5" s="18" t="inlineStr">
        <is>
          <t>Cesta Econômica</t>
        </is>
      </c>
      <c r="G5" s="19" t="n">
        <v>100</v>
      </c>
      <c r="H5" s="20" t="n">
        <v>85</v>
      </c>
      <c r="I5" s="20">
        <f>G5*H5</f>
        <v/>
      </c>
      <c r="J5" s="16" t="inlineStr">
        <is>
          <t>Concluído</t>
        </is>
      </c>
    </row>
    <row r="6">
      <c r="A6" s="11" t="n">
        <v>1005</v>
      </c>
      <c r="B6" s="12" t="inlineStr">
        <is>
          <t>2026-01-20</t>
        </is>
      </c>
      <c r="C6" s="13" t="inlineStr">
        <is>
          <t>Carlos Silva</t>
        </is>
      </c>
      <c r="D6" s="11" t="inlineStr">
        <is>
          <t>Sudeste</t>
        </is>
      </c>
      <c r="E6" s="11" t="inlineStr">
        <is>
          <t>Higiene</t>
        </is>
      </c>
      <c r="F6" s="13" t="inlineStr">
        <is>
          <t>Kit Higiene Corporativa</t>
        </is>
      </c>
      <c r="G6" s="14" t="n">
        <v>25</v>
      </c>
      <c r="H6" s="15" t="n">
        <v>95</v>
      </c>
      <c r="I6" s="15">
        <f>G6*H6</f>
        <v/>
      </c>
      <c r="J6" s="11" t="inlineStr">
        <is>
          <t>Concluído</t>
        </is>
      </c>
    </row>
    <row r="7">
      <c r="A7" s="16" t="n">
        <v>1006</v>
      </c>
      <c r="B7" s="17" t="inlineStr">
        <is>
          <t>2026-02-02</t>
        </is>
      </c>
      <c r="C7" s="18" t="inlineStr">
        <is>
          <t>Ana Souza</t>
        </is>
      </c>
      <c r="D7" s="16" t="inlineStr">
        <is>
          <t>Sul</t>
        </is>
      </c>
      <c r="E7" s="16" t="inlineStr">
        <is>
          <t>Alimentos</t>
        </is>
      </c>
      <c r="F7" s="18" t="inlineStr">
        <is>
          <t>Cesta Básica Premium</t>
        </is>
      </c>
      <c r="G7" s="19" t="n">
        <v>50</v>
      </c>
      <c r="H7" s="20" t="n">
        <v>120</v>
      </c>
      <c r="I7" s="20">
        <f>G7*H7</f>
        <v/>
      </c>
      <c r="J7" s="16" t="inlineStr">
        <is>
          <t>Concluído</t>
        </is>
      </c>
    </row>
    <row r="8">
      <c r="A8" s="11" t="n">
        <v>1007</v>
      </c>
      <c r="B8" s="12" t="inlineStr">
        <is>
          <t>2026-02-05</t>
        </is>
      </c>
      <c r="C8" s="13" t="inlineStr">
        <is>
          <t>Mariana Costa</t>
        </is>
      </c>
      <c r="D8" s="11" t="inlineStr">
        <is>
          <t>Centro-Oeste</t>
        </is>
      </c>
      <c r="E8" s="11" t="inlineStr">
        <is>
          <t>Alimentos</t>
        </is>
      </c>
      <c r="F8" s="13" t="inlineStr">
        <is>
          <t>Cesta Família</t>
        </is>
      </c>
      <c r="G8" s="14" t="n">
        <v>40</v>
      </c>
      <c r="H8" s="15" t="n">
        <v>180</v>
      </c>
      <c r="I8" s="15">
        <f>G8*H8</f>
        <v/>
      </c>
      <c r="J8" s="11" t="inlineStr">
        <is>
          <t>Concluído</t>
        </is>
      </c>
    </row>
    <row r="9">
      <c r="A9" s="16" t="n">
        <v>1008</v>
      </c>
      <c r="B9" s="17" t="inlineStr">
        <is>
          <t>2026-02-10</t>
        </is>
      </c>
      <c r="C9" s="18" t="inlineStr">
        <is>
          <t>João Pedro</t>
        </is>
      </c>
      <c r="D9" s="16" t="inlineStr">
        <is>
          <t>Nordeste</t>
        </is>
      </c>
      <c r="E9" s="16" t="inlineStr">
        <is>
          <t>Bebidas</t>
        </is>
      </c>
      <c r="F9" s="18" t="inlineStr">
        <is>
          <t>Kit Cafezinho Office</t>
        </is>
      </c>
      <c r="G9" s="19" t="n">
        <v>80</v>
      </c>
      <c r="H9" s="20" t="n">
        <v>65</v>
      </c>
      <c r="I9" s="20">
        <f>G9*H9</f>
        <v/>
      </c>
      <c r="J9" s="16" t="inlineStr">
        <is>
          <t>Concluído</t>
        </is>
      </c>
    </row>
    <row r="10">
      <c r="A10" s="11" t="n">
        <v>1009</v>
      </c>
      <c r="B10" s="12" t="inlineStr">
        <is>
          <t>2026-02-14</t>
        </is>
      </c>
      <c r="C10" s="13" t="inlineStr">
        <is>
          <t>Carlos Silva</t>
        </is>
      </c>
      <c r="D10" s="11" t="inlineStr">
        <is>
          <t>Sudeste</t>
        </is>
      </c>
      <c r="E10" s="11" t="inlineStr">
        <is>
          <t>Alimentos</t>
        </is>
      </c>
      <c r="F10" s="13" t="inlineStr">
        <is>
          <t>Cesta Econômica</t>
        </is>
      </c>
      <c r="G10" s="14" t="n">
        <v>120</v>
      </c>
      <c r="H10" s="15" t="n">
        <v>85</v>
      </c>
      <c r="I10" s="15">
        <f>G10*H10</f>
        <v/>
      </c>
      <c r="J10" s="11" t="inlineStr">
        <is>
          <t>Concluído</t>
        </is>
      </c>
    </row>
    <row r="11">
      <c r="A11" s="16" t="n">
        <v>1010</v>
      </c>
      <c r="B11" s="17" t="inlineStr">
        <is>
          <t>2026-02-22</t>
        </is>
      </c>
      <c r="C11" s="18" t="inlineStr">
        <is>
          <t>Lucas Lima</t>
        </is>
      </c>
      <c r="D11" s="16" t="inlineStr">
        <is>
          <t>Norte</t>
        </is>
      </c>
      <c r="E11" s="16" t="inlineStr">
        <is>
          <t>Higiene</t>
        </is>
      </c>
      <c r="F11" s="18" t="inlineStr">
        <is>
          <t>Kit Higiene Corporativa</t>
        </is>
      </c>
      <c r="G11" s="19" t="n">
        <v>35</v>
      </c>
      <c r="H11" s="20" t="n">
        <v>95</v>
      </c>
      <c r="I11" s="20">
        <f>G11*H11</f>
        <v/>
      </c>
      <c r="J11" s="16" t="inlineStr">
        <is>
          <t>Concluído</t>
        </is>
      </c>
    </row>
    <row r="12">
      <c r="A12" s="11" t="n">
        <v>1011</v>
      </c>
      <c r="B12" s="12" t="inlineStr">
        <is>
          <t>2026-03-01</t>
        </is>
      </c>
      <c r="C12" s="13" t="inlineStr">
        <is>
          <t>Ana Souza</t>
        </is>
      </c>
      <c r="D12" s="11" t="inlineStr">
        <is>
          <t>Sul</t>
        </is>
      </c>
      <c r="E12" s="11" t="inlineStr">
        <is>
          <t>Alimentos</t>
        </is>
      </c>
      <c r="F12" s="13" t="inlineStr">
        <is>
          <t>Cesta Família</t>
        </is>
      </c>
      <c r="G12" s="14" t="n">
        <v>55</v>
      </c>
      <c r="H12" s="15" t="n">
        <v>180</v>
      </c>
      <c r="I12" s="15">
        <f>G12*H12</f>
        <v/>
      </c>
      <c r="J12" s="11" t="inlineStr">
        <is>
          <t>Concluído</t>
        </is>
      </c>
    </row>
    <row r="13">
      <c r="A13" s="16" t="n">
        <v>1012</v>
      </c>
      <c r="B13" s="17" t="inlineStr">
        <is>
          <t>2026-03-05</t>
        </is>
      </c>
      <c r="C13" s="18" t="inlineStr">
        <is>
          <t>Mariana Costa</t>
        </is>
      </c>
      <c r="D13" s="16" t="inlineStr">
        <is>
          <t>Sudeste</t>
        </is>
      </c>
      <c r="E13" s="16" t="inlineStr">
        <is>
          <t>Alimentos</t>
        </is>
      </c>
      <c r="F13" s="18" t="inlineStr">
        <is>
          <t>Cesta Básica Premium</t>
        </is>
      </c>
      <c r="G13" s="19" t="n">
        <v>70</v>
      </c>
      <c r="H13" s="20" t="n">
        <v>120</v>
      </c>
      <c r="I13" s="20">
        <f>G13*H13</f>
        <v/>
      </c>
      <c r="J13" s="16" t="inlineStr">
        <is>
          <t>Concluído</t>
        </is>
      </c>
    </row>
    <row r="14">
      <c r="A14" s="11" t="n">
        <v>1013</v>
      </c>
      <c r="B14" s="12" t="inlineStr">
        <is>
          <t>2026-03-12</t>
        </is>
      </c>
      <c r="C14" s="13" t="inlineStr">
        <is>
          <t>João Pedro</t>
        </is>
      </c>
      <c r="D14" s="11" t="inlineStr">
        <is>
          <t>Nordeste</t>
        </is>
      </c>
      <c r="E14" s="11" t="inlineStr">
        <is>
          <t>Alimentos</t>
        </is>
      </c>
      <c r="F14" s="13" t="inlineStr">
        <is>
          <t>Cesta Econômica</t>
        </is>
      </c>
      <c r="G14" s="14" t="n">
        <v>110</v>
      </c>
      <c r="H14" s="15" t="n">
        <v>85</v>
      </c>
      <c r="I14" s="15">
        <f>G14*H14</f>
        <v/>
      </c>
      <c r="J14" s="11" t="inlineStr">
        <is>
          <t>Concluído</t>
        </is>
      </c>
    </row>
    <row r="15">
      <c r="A15" s="16" t="n">
        <v>1014</v>
      </c>
      <c r="B15" s="17" t="inlineStr">
        <is>
          <t>2026-03-18</t>
        </is>
      </c>
      <c r="C15" s="18" t="inlineStr">
        <is>
          <t>Carlos Silva</t>
        </is>
      </c>
      <c r="D15" s="16" t="inlineStr">
        <is>
          <t>Sudeste</t>
        </is>
      </c>
      <c r="E15" s="16" t="inlineStr">
        <is>
          <t>Bebidas</t>
        </is>
      </c>
      <c r="F15" s="18" t="inlineStr">
        <is>
          <t>Kit Sucos Naturais</t>
        </is>
      </c>
      <c r="G15" s="19" t="n">
        <v>90</v>
      </c>
      <c r="H15" s="20" t="n">
        <v>45</v>
      </c>
      <c r="I15" s="20">
        <f>G15*H15</f>
        <v/>
      </c>
      <c r="J15" s="16" t="inlineStr">
        <is>
          <t>Concluído</t>
        </is>
      </c>
    </row>
    <row r="16">
      <c r="A16" s="11" t="n">
        <v>1015</v>
      </c>
      <c r="B16" s="12" t="inlineStr">
        <is>
          <t>2026-03-25</t>
        </is>
      </c>
      <c r="C16" s="13" t="inlineStr">
        <is>
          <t>Lucas Lima</t>
        </is>
      </c>
      <c r="D16" s="11" t="inlineStr">
        <is>
          <t>Norte</t>
        </is>
      </c>
      <c r="E16" s="11" t="inlineStr">
        <is>
          <t>Alimentos</t>
        </is>
      </c>
      <c r="F16" s="13" t="inlineStr">
        <is>
          <t>Cesta Básica Premium</t>
        </is>
      </c>
      <c r="G16" s="14" t="n">
        <v>40</v>
      </c>
      <c r="H16" s="15" t="n">
        <v>120</v>
      </c>
      <c r="I16" s="15">
        <f>G16*H16</f>
        <v/>
      </c>
      <c r="J16" s="11" t="inlineStr">
        <is>
          <t>Concluído</t>
        </is>
      </c>
    </row>
    <row r="17">
      <c r="A17" s="16" t="n">
        <v>1016</v>
      </c>
      <c r="B17" s="17" t="inlineStr">
        <is>
          <t>2026-04-03</t>
        </is>
      </c>
      <c r="C17" s="18" t="inlineStr">
        <is>
          <t>Ana Souza</t>
        </is>
      </c>
      <c r="D17" s="16" t="inlineStr">
        <is>
          <t>Sul</t>
        </is>
      </c>
      <c r="E17" s="16" t="inlineStr">
        <is>
          <t>Higiene</t>
        </is>
      </c>
      <c r="F17" s="18" t="inlineStr">
        <is>
          <t>Kit Higiene Corporativa</t>
        </is>
      </c>
      <c r="G17" s="19" t="n">
        <v>50</v>
      </c>
      <c r="H17" s="20" t="n">
        <v>95</v>
      </c>
      <c r="I17" s="20">
        <f>G17*H17</f>
        <v/>
      </c>
      <c r="J17" s="16" t="inlineStr">
        <is>
          <t>Concluído</t>
        </is>
      </c>
    </row>
    <row r="18">
      <c r="A18" s="11" t="n">
        <v>1017</v>
      </c>
      <c r="B18" s="12" t="inlineStr">
        <is>
          <t>2026-04-08</t>
        </is>
      </c>
      <c r="C18" s="13" t="inlineStr">
        <is>
          <t>Mariana Costa</t>
        </is>
      </c>
      <c r="D18" s="11" t="inlineStr">
        <is>
          <t>Sudeste</t>
        </is>
      </c>
      <c r="E18" s="11" t="inlineStr">
        <is>
          <t>Alimentos</t>
        </is>
      </c>
      <c r="F18" s="13" t="inlineStr">
        <is>
          <t>Cesta Família</t>
        </is>
      </c>
      <c r="G18" s="14" t="n">
        <v>65</v>
      </c>
      <c r="H18" s="15" t="n">
        <v>180</v>
      </c>
      <c r="I18" s="15">
        <f>G18*H18</f>
        <v/>
      </c>
      <c r="J18" s="11" t="inlineStr">
        <is>
          <t>Concluído</t>
        </is>
      </c>
    </row>
    <row r="19">
      <c r="A19" s="16" t="n">
        <v>1018</v>
      </c>
      <c r="B19" s="17" t="inlineStr">
        <is>
          <t>2026-04-14</t>
        </is>
      </c>
      <c r="C19" s="18" t="inlineStr">
        <is>
          <t>João Pedro</t>
        </is>
      </c>
      <c r="D19" s="16" t="inlineStr">
        <is>
          <t>Nordeste</t>
        </is>
      </c>
      <c r="E19" s="16" t="inlineStr">
        <is>
          <t>Alimentos</t>
        </is>
      </c>
      <c r="F19" s="18" t="inlineStr">
        <is>
          <t>Cesta Básica Premium</t>
        </is>
      </c>
      <c r="G19" s="19" t="n">
        <v>85</v>
      </c>
      <c r="H19" s="20" t="n">
        <v>120</v>
      </c>
      <c r="I19" s="20">
        <f>G19*H19</f>
        <v/>
      </c>
      <c r="J19" s="16" t="inlineStr">
        <is>
          <t>Concluído</t>
        </is>
      </c>
    </row>
    <row r="20">
      <c r="A20" s="11" t="n">
        <v>1019</v>
      </c>
      <c r="B20" s="12" t="inlineStr">
        <is>
          <t>2026-04-20</t>
        </is>
      </c>
      <c r="C20" s="13" t="inlineStr">
        <is>
          <t>Carlos Silva</t>
        </is>
      </c>
      <c r="D20" s="11" t="inlineStr">
        <is>
          <t>Sudeste</t>
        </is>
      </c>
      <c r="E20" s="11" t="inlineStr">
        <is>
          <t>Alimentos</t>
        </is>
      </c>
      <c r="F20" s="13" t="inlineStr">
        <is>
          <t>Cesta Econômica</t>
        </is>
      </c>
      <c r="G20" s="14" t="n">
        <v>130</v>
      </c>
      <c r="H20" s="15" t="n">
        <v>85</v>
      </c>
      <c r="I20" s="15">
        <f>G20*H20</f>
        <v/>
      </c>
      <c r="J20" s="11" t="inlineStr">
        <is>
          <t>Concluído</t>
        </is>
      </c>
    </row>
    <row r="21">
      <c r="A21" s="16" t="n">
        <v>1020</v>
      </c>
      <c r="B21" s="17" t="inlineStr">
        <is>
          <t>2026-04-27</t>
        </is>
      </c>
      <c r="C21" s="18" t="inlineStr">
        <is>
          <t>Lucas Lima</t>
        </is>
      </c>
      <c r="D21" s="16" t="inlineStr">
        <is>
          <t>Centro-Oeste</t>
        </is>
      </c>
      <c r="E21" s="16" t="inlineStr">
        <is>
          <t>Bebidas</t>
        </is>
      </c>
      <c r="F21" s="18" t="inlineStr">
        <is>
          <t>Kit Cafezinho Office</t>
        </is>
      </c>
      <c r="G21" s="19" t="n">
        <v>60</v>
      </c>
      <c r="H21" s="20" t="n">
        <v>65</v>
      </c>
      <c r="I21" s="20">
        <f>G21*H21</f>
        <v/>
      </c>
      <c r="J21" s="16" t="inlineStr">
        <is>
          <t>Concluído</t>
        </is>
      </c>
    </row>
    <row r="22">
      <c r="A22" s="11" t="n">
        <v>1021</v>
      </c>
      <c r="B22" s="12" t="inlineStr">
        <is>
          <t>2026-05-04</t>
        </is>
      </c>
      <c r="C22" s="13" t="inlineStr">
        <is>
          <t>Ana Souza</t>
        </is>
      </c>
      <c r="D22" s="11" t="inlineStr">
        <is>
          <t>Sul</t>
        </is>
      </c>
      <c r="E22" s="11" t="inlineStr">
        <is>
          <t>Alimentos</t>
        </is>
      </c>
      <c r="F22" s="13" t="inlineStr">
        <is>
          <t>Cesta Básica Premium</t>
        </is>
      </c>
      <c r="G22" s="14" t="n">
        <v>60</v>
      </c>
      <c r="H22" s="15" t="n">
        <v>120</v>
      </c>
      <c r="I22" s="15">
        <f>G22*H22</f>
        <v/>
      </c>
      <c r="J22" s="11" t="inlineStr">
        <is>
          <t>Concluído</t>
        </is>
      </c>
    </row>
    <row r="23">
      <c r="A23" s="16" t="n">
        <v>1022</v>
      </c>
      <c r="B23" s="17" t="inlineStr">
        <is>
          <t>2026-05-10</t>
        </is>
      </c>
      <c r="C23" s="18" t="inlineStr">
        <is>
          <t>Mariana Costa</t>
        </is>
      </c>
      <c r="D23" s="16" t="inlineStr">
        <is>
          <t>Sudeste</t>
        </is>
      </c>
      <c r="E23" s="16" t="inlineStr">
        <is>
          <t>Higiene</t>
        </is>
      </c>
      <c r="F23" s="18" t="inlineStr">
        <is>
          <t>Kit Higiene Corporativa</t>
        </is>
      </c>
      <c r="G23" s="19" t="n">
        <v>45</v>
      </c>
      <c r="H23" s="20" t="n">
        <v>95</v>
      </c>
      <c r="I23" s="20">
        <f>G23*H23</f>
        <v/>
      </c>
      <c r="J23" s="16" t="inlineStr">
        <is>
          <t>Concluído</t>
        </is>
      </c>
    </row>
    <row r="24">
      <c r="A24" s="11" t="n">
        <v>1023</v>
      </c>
      <c r="B24" s="12" t="inlineStr">
        <is>
          <t>2026-05-15</t>
        </is>
      </c>
      <c r="C24" s="13" t="inlineStr">
        <is>
          <t>João Pedro</t>
        </is>
      </c>
      <c r="D24" s="11" t="inlineStr">
        <is>
          <t>Nordeste</t>
        </is>
      </c>
      <c r="E24" s="11" t="inlineStr">
        <is>
          <t>Alimentos</t>
        </is>
      </c>
      <c r="F24" s="13" t="inlineStr">
        <is>
          <t>Cesta Família</t>
        </is>
      </c>
      <c r="G24" s="14" t="n">
        <v>50</v>
      </c>
      <c r="H24" s="15" t="n">
        <v>180</v>
      </c>
      <c r="I24" s="15">
        <f>G24*H24</f>
        <v/>
      </c>
      <c r="J24" s="11" t="inlineStr">
        <is>
          <t>Concluído</t>
        </is>
      </c>
    </row>
    <row r="25">
      <c r="A25" s="16" t="n">
        <v>1024</v>
      </c>
      <c r="B25" s="17" t="inlineStr">
        <is>
          <t>2026-05-22</t>
        </is>
      </c>
      <c r="C25" s="18" t="inlineStr">
        <is>
          <t>Carlos Silva</t>
        </is>
      </c>
      <c r="D25" s="16" t="inlineStr">
        <is>
          <t>Sudeste</t>
        </is>
      </c>
      <c r="E25" s="16" t="inlineStr">
        <is>
          <t>Alimentos</t>
        </is>
      </c>
      <c r="F25" s="18" t="inlineStr">
        <is>
          <t>Cesta Básica Premium</t>
        </is>
      </c>
      <c r="G25" s="19" t="n">
        <v>95</v>
      </c>
      <c r="H25" s="20" t="n">
        <v>120</v>
      </c>
      <c r="I25" s="20">
        <f>G25*H25</f>
        <v/>
      </c>
      <c r="J25" s="16" t="inlineStr">
        <is>
          <t>Concluído</t>
        </is>
      </c>
    </row>
    <row r="26">
      <c r="A26" s="11" t="n">
        <v>1025</v>
      </c>
      <c r="B26" s="12" t="inlineStr">
        <is>
          <t>2026-05-29</t>
        </is>
      </c>
      <c r="C26" s="13" t="inlineStr">
        <is>
          <t>Lucas Lima</t>
        </is>
      </c>
      <c r="D26" s="11" t="inlineStr">
        <is>
          <t>Norte</t>
        </is>
      </c>
      <c r="E26" s="11" t="inlineStr">
        <is>
          <t>Alimentos</t>
        </is>
      </c>
      <c r="F26" s="13" t="inlineStr">
        <is>
          <t>Cesta Econômica</t>
        </is>
      </c>
      <c r="G26" s="14" t="n">
        <v>75</v>
      </c>
      <c r="H26" s="15" t="n">
        <v>85</v>
      </c>
      <c r="I26" s="15">
        <f>G26*H26</f>
        <v/>
      </c>
      <c r="J26" s="11" t="inlineStr">
        <is>
          <t>Concluído</t>
        </is>
      </c>
    </row>
    <row r="27">
      <c r="A27" s="16" t="n">
        <v>1026</v>
      </c>
      <c r="B27" s="17" t="inlineStr">
        <is>
          <t>2026-06-02</t>
        </is>
      </c>
      <c r="C27" s="18" t="inlineStr">
        <is>
          <t>Ana Souza</t>
        </is>
      </c>
      <c r="D27" s="16" t="inlineStr">
        <is>
          <t>Sul</t>
        </is>
      </c>
      <c r="E27" s="16" t="inlineStr">
        <is>
          <t>Bebidas</t>
        </is>
      </c>
      <c r="F27" s="18" t="inlineStr">
        <is>
          <t>Kit Sucos Naturais</t>
        </is>
      </c>
      <c r="G27" s="19" t="n">
        <v>110</v>
      </c>
      <c r="H27" s="20" t="n">
        <v>45</v>
      </c>
      <c r="I27" s="20">
        <f>G27*H27</f>
        <v/>
      </c>
      <c r="J27" s="16" t="inlineStr">
        <is>
          <t>Concluído</t>
        </is>
      </c>
    </row>
    <row r="28">
      <c r="A28" s="11" t="n">
        <v>1027</v>
      </c>
      <c r="B28" s="12" t="inlineStr">
        <is>
          <t>2026-06-09</t>
        </is>
      </c>
      <c r="C28" s="13" t="inlineStr">
        <is>
          <t>Mariana Costa</t>
        </is>
      </c>
      <c r="D28" s="11" t="inlineStr">
        <is>
          <t>Sudeste</t>
        </is>
      </c>
      <c r="E28" s="11" t="inlineStr">
        <is>
          <t>Alimentos</t>
        </is>
      </c>
      <c r="F28" s="13" t="inlineStr">
        <is>
          <t>Cesta Família</t>
        </is>
      </c>
      <c r="G28" s="14" t="n">
        <v>70</v>
      </c>
      <c r="H28" s="15" t="n">
        <v>180</v>
      </c>
      <c r="I28" s="15">
        <f>G28*H28</f>
        <v/>
      </c>
      <c r="J28" s="11" t="inlineStr">
        <is>
          <t>Concluído</t>
        </is>
      </c>
    </row>
    <row r="29">
      <c r="A29" s="16" t="n">
        <v>1028</v>
      </c>
      <c r="B29" s="17" t="inlineStr">
        <is>
          <t>2026-06-16</t>
        </is>
      </c>
      <c r="C29" s="18" t="inlineStr">
        <is>
          <t>João Pedro</t>
        </is>
      </c>
      <c r="D29" s="16" t="inlineStr">
        <is>
          <t>Nordeste</t>
        </is>
      </c>
      <c r="E29" s="16" t="inlineStr">
        <is>
          <t>Alimentos</t>
        </is>
      </c>
      <c r="F29" s="18" t="inlineStr">
        <is>
          <t>Cesta Básica Premium</t>
        </is>
      </c>
      <c r="G29" s="19" t="n">
        <v>90</v>
      </c>
      <c r="H29" s="20" t="n">
        <v>120</v>
      </c>
      <c r="I29" s="20">
        <f>G29*H29</f>
        <v/>
      </c>
      <c r="J29" s="16" t="inlineStr">
        <is>
          <t>Concluído</t>
        </is>
      </c>
    </row>
    <row r="30">
      <c r="A30" s="11" t="n">
        <v>1029</v>
      </c>
      <c r="B30" s="12" t="inlineStr">
        <is>
          <t>2026-06-23</t>
        </is>
      </c>
      <c r="C30" s="13" t="inlineStr">
        <is>
          <t>Carlos Silva</t>
        </is>
      </c>
      <c r="D30" s="11" t="inlineStr">
        <is>
          <t>Sudeste</t>
        </is>
      </c>
      <c r="E30" s="11" t="inlineStr">
        <is>
          <t>Higiene</t>
        </is>
      </c>
      <c r="F30" s="13" t="inlineStr">
        <is>
          <t>Kit Higiene Corporativa</t>
        </is>
      </c>
      <c r="G30" s="14" t="n">
        <v>60</v>
      </c>
      <c r="H30" s="15" t="n">
        <v>95</v>
      </c>
      <c r="I30" s="15">
        <f>G30*H30</f>
        <v/>
      </c>
      <c r="J30" s="11" t="inlineStr">
        <is>
          <t>Concluído</t>
        </is>
      </c>
    </row>
    <row r="31">
      <c r="A31" s="16" t="n">
        <v>1030</v>
      </c>
      <c r="B31" s="17" t="inlineStr">
        <is>
          <t>2026-06-30</t>
        </is>
      </c>
      <c r="C31" s="18" t="inlineStr">
        <is>
          <t>Lucas Lima</t>
        </is>
      </c>
      <c r="D31" s="16" t="inlineStr">
        <is>
          <t>Centro-Oeste</t>
        </is>
      </c>
      <c r="E31" s="16" t="inlineStr">
        <is>
          <t>Alimentos</t>
        </is>
      </c>
      <c r="F31" s="18" t="inlineStr">
        <is>
          <t>Cesta Econômica</t>
        </is>
      </c>
      <c r="G31" s="19" t="n">
        <v>85</v>
      </c>
      <c r="H31" s="20" t="n">
        <v>85</v>
      </c>
      <c r="I31" s="20">
        <f>G31*H31</f>
        <v/>
      </c>
      <c r="J31" s="16" t="inlineStr">
        <is>
          <t>Concluído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1" workbookViewId="0">
      <selection activeCell="A1" sqref="A1"/>
    </sheetView>
  </sheetViews>
  <sheetFormatPr baseColWidth="8" defaultRowHeight="15"/>
  <sheetData>
    <row r="1">
      <c r="A1" s="21" t="inlineStr">
        <is>
          <t>Mês</t>
        </is>
      </c>
      <c r="B1" s="21" t="inlineStr">
        <is>
          <t>Faturamento Total</t>
        </is>
      </c>
      <c r="D1" s="21" t="inlineStr">
        <is>
          <t>Região</t>
        </is>
      </c>
      <c r="E1" s="21" t="inlineStr">
        <is>
          <t>Faturamento</t>
        </is>
      </c>
      <c r="G1" s="21" t="inlineStr">
        <is>
          <t>Vendedor</t>
        </is>
      </c>
      <c r="H1" s="21" t="inlineStr">
        <is>
          <t>Faturamento</t>
        </is>
      </c>
      <c r="J1" s="21" t="inlineStr">
        <is>
          <t>Categoria</t>
        </is>
      </c>
      <c r="K1" s="21" t="inlineStr">
        <is>
          <t>Faturamento</t>
        </is>
      </c>
    </row>
    <row r="2">
      <c r="A2" t="inlineStr">
        <is>
          <t>Jan</t>
        </is>
      </c>
      <c r="B2">
        <f>SUMIFS(Dados_Vendas!I:I, Dados_Vendas!B:B, "&gt;=2026-01-01", Dados_Vendas!B:B, "&lt;=2026-01-31")</f>
        <v/>
      </c>
      <c r="D2" t="inlineStr">
        <is>
          <t>Sudeste</t>
        </is>
      </c>
      <c r="E2">
        <f>SUMIF(Dados_Vendas!D:D, D2, Dados_Vendas!I:I)</f>
        <v/>
      </c>
      <c r="G2" t="inlineStr">
        <is>
          <t>Carlos Silva</t>
        </is>
      </c>
      <c r="H2">
        <f>SUMIF(Dados_Vendas!C:C, G2, Dados_Vendas!I:I)</f>
        <v/>
      </c>
      <c r="J2" t="inlineStr">
        <is>
          <t>Alimentos</t>
        </is>
      </c>
      <c r="K2">
        <f>SUMIF(Dados_Vendas!E:E, J2, Dados_Vendas!I:I)</f>
        <v/>
      </c>
    </row>
    <row r="3">
      <c r="A3" t="inlineStr">
        <is>
          <t>Fev</t>
        </is>
      </c>
      <c r="B3">
        <f>SUMIFS(Dados_Vendas!I:I, Dados_Vendas!B:B, "&gt;=2026-02-01", Dados_Vendas!B:B, "&lt;=2026-02-28")</f>
        <v/>
      </c>
      <c r="D3" t="inlineStr">
        <is>
          <t>Sul</t>
        </is>
      </c>
      <c r="E3">
        <f>SUMIF(Dados_Vendas!D:D, D3, Dados_Vendas!I:I)</f>
        <v/>
      </c>
      <c r="G3" t="inlineStr">
        <is>
          <t>Ana Souza</t>
        </is>
      </c>
      <c r="H3">
        <f>SUMIF(Dados_Vendas!C:C, G3, Dados_Vendas!I:I)</f>
        <v/>
      </c>
      <c r="J3" t="inlineStr">
        <is>
          <t>Bebidas</t>
        </is>
      </c>
      <c r="K3">
        <f>SUMIF(Dados_Vendas!E:E, J3, Dados_Vendas!I:I)</f>
        <v/>
      </c>
    </row>
    <row r="4">
      <c r="A4" t="inlineStr">
        <is>
          <t>Mar</t>
        </is>
      </c>
      <c r="B4">
        <f>SUMIFS(Dados_Vendas!I:I, Dados_Vendas!B:B, "&gt;=2026-03-01", Dados_Vendas!B:B, "&lt;=2026-03-31")</f>
        <v/>
      </c>
      <c r="D4" t="inlineStr">
        <is>
          <t>Nordeste</t>
        </is>
      </c>
      <c r="E4">
        <f>SUMIF(Dados_Vendas!D:D, D4, Dados_Vendas!I:I)</f>
        <v/>
      </c>
      <c r="G4" t="inlineStr">
        <is>
          <t>Mariana Costa</t>
        </is>
      </c>
      <c r="H4">
        <f>SUMIF(Dados_Vendas!C:C, G4, Dados_Vendas!I:I)</f>
        <v/>
      </c>
      <c r="J4" t="inlineStr">
        <is>
          <t>Higiene</t>
        </is>
      </c>
      <c r="K4">
        <f>SUMIF(Dados_Vendas!E:E, J4, Dados_Vendas!I:I)</f>
        <v/>
      </c>
    </row>
    <row r="5">
      <c r="A5" t="inlineStr">
        <is>
          <t>Abr</t>
        </is>
      </c>
      <c r="B5">
        <f>SUMIFS(Dados_Vendas!I:I, Dados_Vendas!B:B, "&gt;=2026-04-01", Dados_Vendas!B:B, "&lt;=2026-04-30")</f>
        <v/>
      </c>
      <c r="D5" t="inlineStr">
        <is>
          <t>Norte</t>
        </is>
      </c>
      <c r="E5">
        <f>SUMIF(Dados_Vendas!D:D, D5, Dados_Vendas!I:I)</f>
        <v/>
      </c>
      <c r="G5" t="inlineStr">
        <is>
          <t>João Pedro</t>
        </is>
      </c>
      <c r="H5">
        <f>SUMIF(Dados_Vendas!C:C, G5, Dados_Vendas!I:I)</f>
        <v/>
      </c>
    </row>
    <row r="6">
      <c r="A6" t="inlineStr">
        <is>
          <t>Mai</t>
        </is>
      </c>
      <c r="B6">
        <f>SUMIFS(Dados_Vendas!I:I, Dados_Vendas!B:B, "&gt;=2026-05-01", Dados_Vendas!B:B, "&lt;=2026-05-31")</f>
        <v/>
      </c>
      <c r="D6" t="inlineStr">
        <is>
          <t>Centro-Oeste</t>
        </is>
      </c>
      <c r="E6">
        <f>SUMIF(Dados_Vendas!D:D, D6, Dados_Vendas!I:I)</f>
        <v/>
      </c>
      <c r="G6" t="inlineStr">
        <is>
          <t>Lucas Lima</t>
        </is>
      </c>
      <c r="H6">
        <f>SUMIF(Dados_Vendas!C:C, G6, Dados_Vendas!I:I)</f>
        <v/>
      </c>
    </row>
    <row r="7">
      <c r="A7" t="inlineStr">
        <is>
          <t>Jun</t>
        </is>
      </c>
      <c r="B7">
        <f>SUMIFS(Dados_Vendas!I:I, Dados_Vendas!B:B, "&gt;=2026-06-01", Dados_Vendas!B:B, "&lt;=2026-06-30")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2026-10-18T03:23:01Z</dcterms:created>
  <dcterms:modified xmlns:dcterms="http://purl.org/dc/terms/" xmlns:xsi="http://www.w3.org/2001/XMLSchema-instance" xsi:type="dcterms:W3CDTF">2026-10-18T03:23:01Z</dcterms:modified>
</cp:coreProperties>
</file>